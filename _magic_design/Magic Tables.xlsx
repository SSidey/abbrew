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\FoundryVTT\abbrew\_magic_design\"/>
    </mc:Choice>
  </mc:AlternateContent>
  <xr:revisionPtr revIDLastSave="0" documentId="13_ncr:1_{096DFD9A-5B43-47A1-B78E-0D8F51D1F015}" xr6:coauthVersionLast="47" xr6:coauthVersionMax="47" xr10:uidLastSave="{00000000-0000-0000-0000-000000000000}"/>
  <bookViews>
    <workbookView xWindow="38025" yWindow="0" windowWidth="38700" windowHeight="21600" activeTab="4" xr2:uid="{2E8DD4D3-D978-4452-8CAC-1BF1C022A911}"/>
  </bookViews>
  <sheets>
    <sheet name="Ars Voluntas - Intent" sheetId="2" r:id="rId1"/>
    <sheet name="Ars Essentia - Concept" sheetId="3" r:id="rId2"/>
    <sheet name="Ars Trajecta - Delivery" sheetId="1" r:id="rId3"/>
    <sheet name="Ars Tempus - Duration" sheetId="4" r:id="rId4"/>
    <sheet name="Ars Forma - Area + Shap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B5" i="4" s="1"/>
  <c r="C6" i="4"/>
  <c r="C7" i="4"/>
  <c r="C8" i="4"/>
  <c r="B8" i="4" s="1"/>
  <c r="C9" i="4"/>
  <c r="B9" i="4" s="1"/>
  <c r="C10" i="4"/>
  <c r="B10" i="4" s="1"/>
  <c r="C11" i="4"/>
  <c r="C12" i="4"/>
  <c r="C13" i="4"/>
  <c r="C14" i="4"/>
  <c r="C15" i="4"/>
  <c r="C4" i="4"/>
  <c r="B4" i="4" s="1"/>
  <c r="B11" i="4"/>
  <c r="B13" i="4"/>
  <c r="B15" i="4"/>
  <c r="B14" i="4"/>
  <c r="B12" i="4"/>
  <c r="B7" i="4"/>
  <c r="B6" i="4"/>
  <c r="B3" i="4"/>
  <c r="A3" i="4" s="1"/>
  <c r="A12" i="4" l="1"/>
  <c r="A5" i="4"/>
  <c r="A10" i="4"/>
  <c r="A11" i="4"/>
  <c r="A4" i="4"/>
  <c r="A6" i="4"/>
  <c r="A7" i="4"/>
  <c r="A8" i="4"/>
  <c r="A9" i="4"/>
  <c r="A13" i="4"/>
  <c r="A14" i="4"/>
  <c r="A15" i="4"/>
</calcChain>
</file>

<file path=xl/sharedStrings.xml><?xml version="1.0" encoding="utf-8"?>
<sst xmlns="http://schemas.openxmlformats.org/spreadsheetml/2006/main" count="290" uniqueCount="224">
  <si>
    <t>Ars Trajecta – The Art of Space (Delivery and Range)</t>
  </si>
  <si>
    <t xml:space="preserve"> Self (Se)             </t>
  </si>
  <si>
    <t xml:space="preserve"> The caster’s own body or aura.                                  </t>
  </si>
  <si>
    <t xml:space="preserve"> 1 a               </t>
  </si>
  <si>
    <t xml:space="preserve"> Touch (Tactus)        </t>
  </si>
  <si>
    <t xml:space="preserve"> Direct physical contact (≈ 1 m).                                </t>
  </si>
  <si>
    <t xml:space="preserve"> 2 a               </t>
  </si>
  <si>
    <t xml:space="preserve"> Near (Proximum)       </t>
  </si>
  <si>
    <t xml:space="preserve"> A few paces (≈ 10 m).                                           </t>
  </si>
  <si>
    <t xml:space="preserve"> 3 a               </t>
  </si>
  <si>
    <t xml:space="preserve"> Far (Longinquum)      </t>
  </si>
  <si>
    <t xml:space="preserve"> Visible range (≈ 100 m).                                        </t>
  </si>
  <si>
    <t xml:space="preserve"> Remote (Remotum)      </t>
  </si>
  <si>
    <t xml:space="preserve"> —                 </t>
  </si>
  <si>
    <t xml:space="preserve"> Country (Provincia)   </t>
  </si>
  <si>
    <t xml:space="preserve"> Regional scale (≈ 100 km).                                      </t>
  </si>
  <si>
    <t xml:space="preserve"> Continent (Continens) </t>
  </si>
  <si>
    <t xml:space="preserve"> Continental scale (≈ 1 000 km).                                 </t>
  </si>
  <si>
    <t xml:space="preserve"> Planet (Mundus)       </t>
  </si>
  <si>
    <t xml:space="preserve"> Planet-wide reach.                                              </t>
  </si>
  <si>
    <t xml:space="preserve"> Planar (Planaris)     </t>
  </si>
  <si>
    <t xml:space="preserve"> Across planes or realities.                                     </t>
  </si>
  <si>
    <t> Form of Delivery</t>
  </si>
  <si>
    <t> Description</t>
  </si>
  <si>
    <t xml:space="preserve">   Entropy Cost </t>
  </si>
  <si>
    <t>Ars Voluntas – The Art of Intent</t>
  </si>
  <si>
    <t xml:space="preserve"> Family                       </t>
  </si>
  <si>
    <t xml:space="preserve"> Intent                       </t>
  </si>
  <si>
    <t xml:space="preserve"> Meaning / Example                                                   </t>
  </si>
  <si>
    <t xml:space="preserve"> Formative (Ars Formativa)    </t>
  </si>
  <si>
    <t xml:space="preserve"> Create (Creare)              </t>
  </si>
  <si>
    <t xml:space="preserve"> Bring something into being — ignite a flame, conjure a wall of stone. </t>
  </si>
  <si>
    <t xml:space="preserve"> Destroy (Destruere)          </t>
  </si>
  <si>
    <t xml:space="preserve"> Remove or unmake — snuff a flame, erode metal, counter a spell.       </t>
  </si>
  <si>
    <t xml:space="preserve"> Shape (Formare)              </t>
  </si>
  <si>
    <t xml:space="preserve"> Alter a thing’s existing form — mold earth, reshape flesh.            </t>
  </si>
  <si>
    <t xml:space="preserve"> Transmute (Transmutare)      </t>
  </si>
  <si>
    <t xml:space="preserve"> Change one essence into another — lead to gold, man to wolf.          </t>
  </si>
  <si>
    <t xml:space="preserve"> Kinetic (Ars Motus)          </t>
  </si>
  <si>
    <t xml:space="preserve"> Move (Movere)                </t>
  </si>
  <si>
    <t xml:space="preserve"> Propel or direct — push, pull, launch projectile.                     </t>
  </si>
  <si>
    <t xml:space="preserve"> Stop (Stare)                 </t>
  </si>
  <si>
    <t xml:space="preserve"> Halt motion or energy — freeze arrow, still wave.                     </t>
  </si>
  <si>
    <t xml:space="preserve"> Integrative (Ars Integralis) </t>
  </si>
  <si>
    <t xml:space="preserve"> Infuse (Infundere)           </t>
  </si>
  <si>
    <t xml:space="preserve"> Add a quality to a subject — imbue a blade with fire.                 </t>
  </si>
  <si>
    <t xml:space="preserve"> Extract (Extrahere)          </t>
  </si>
  <si>
    <t xml:space="preserve"> Draw a quality out — pull poison from blood.                          </t>
  </si>
  <si>
    <t xml:space="preserve"> Alligare                     </t>
  </si>
  <si>
    <t xml:space="preserve"> To bind two things into correspondence or alignment                     </t>
  </si>
  <si>
    <t xml:space="preserve"> 1e                            </t>
  </si>
  <si>
    <t xml:space="preserve"> Imbuere                      </t>
  </si>
  <si>
    <t xml:space="preserve"> To grant an ability                                                     </t>
  </si>
  <si>
    <t xml:space="preserve"> Protective (Ars Tutela)      </t>
  </si>
  <si>
    <t xml:space="preserve"> Protect from (Protegere ab)  </t>
  </si>
  <si>
    <t xml:space="preserve"> Guard against a concept — shield from fire.                           </t>
  </si>
  <si>
    <t xml:space="preserve"> Protect with (Protegere cum) </t>
  </si>
  <si>
    <t xml:space="preserve"> Use a concept as barrier — wreath in flame to deter attackers.        </t>
  </si>
  <si>
    <t xml:space="preserve"> Cognitive (Ars Cognitio)     </t>
  </si>
  <si>
    <t xml:space="preserve"> Reveal (Revelare)            </t>
  </si>
  <si>
    <t xml:space="preserve"> Perceive hidden things — see the invisible, comprehend runes.         </t>
  </si>
  <si>
    <t xml:space="preserve"> Obscure (Obscurare)          </t>
  </si>
  <si>
    <t xml:space="preserve"> Conceal truth or object — veil door, cloud memory.                    </t>
  </si>
  <si>
    <t xml:space="preserve"> Temporal (Ars Tempus)        </t>
  </si>
  <si>
    <t xml:space="preserve"> Delay (Morare)               </t>
  </si>
  <si>
    <t xml:space="preserve"> Postpone effect — trap to trigger later.                              </t>
  </si>
  <si>
    <t xml:space="preserve"> Sustain (Sustinere)          </t>
  </si>
  <si>
    <t xml:space="preserve"> Maintain effect beyond moment — keep flame burning for hours.         </t>
  </si>
  <si>
    <t>1e</t>
  </si>
  <si>
    <t>Entropy Cost</t>
  </si>
  <si>
    <t xml:space="preserve">1e + (Orbis difference in e) </t>
  </si>
  <si>
    <t>Action Cost</t>
  </si>
  <si>
    <t>1a</t>
  </si>
  <si>
    <t>1a + (Orbis difference in a)</t>
  </si>
  <si>
    <t xml:space="preserve"> 1 round </t>
  </si>
  <si>
    <t xml:space="preserve"> Beyond sight (≈ 1 km).</t>
  </si>
  <si>
    <t xml:space="preserve">City </t>
  </si>
  <si>
    <t>City Scale (10km)</t>
  </si>
  <si>
    <t>4e</t>
  </si>
  <si>
    <t>3e</t>
  </si>
  <si>
    <t>2e</t>
  </si>
  <si>
    <t>0e</t>
  </si>
  <si>
    <t>5e</t>
  </si>
  <si>
    <t>6e</t>
  </si>
  <si>
    <t>7e</t>
  </si>
  <si>
    <t>8e</t>
  </si>
  <si>
    <t>9e</t>
  </si>
  <si>
    <t>Ars Essentia - The Art of Essence</t>
  </si>
  <si>
    <t>Circulus</t>
  </si>
  <si>
    <t>Orbis</t>
  </si>
  <si>
    <t>Nature</t>
  </si>
  <si>
    <t>Behaviour</t>
  </si>
  <si>
    <t>Entropy</t>
  </si>
  <si>
    <t>Null</t>
  </si>
  <si>
    <t>The conceptual void; absence, negation, the state before being.</t>
  </si>
  <si>
    <t>Absolutus</t>
  </si>
  <si>
    <t>Examples</t>
  </si>
  <si>
    <t>Pure absence, void, nullity</t>
  </si>
  <si>
    <t>Materia</t>
  </si>
  <si>
    <t>Minor</t>
  </si>
  <si>
    <t>Median</t>
  </si>
  <si>
    <t>Major</t>
  </si>
  <si>
    <t>10e</t>
  </si>
  <si>
    <t>11e</t>
  </si>
  <si>
    <t>12e</t>
  </si>
  <si>
    <t>13e</t>
  </si>
  <si>
    <t>14e</t>
  </si>
  <si>
    <t>15e</t>
  </si>
  <si>
    <t>The tangible world: physical materials and organic life.</t>
  </si>
  <si>
    <t>Material Essentia responds readily to will. Its solidity grants reliability and resistance; spells acting on it are most common among artisans, druids, and fleshcrafters</t>
  </si>
  <si>
    <t>Stone, wood, soil, cloth, water</t>
  </si>
  <si>
    <t>Flesh, blood, bone, hair</t>
  </si>
  <si>
    <t>Metal, crystal, construct, refined material</t>
  </si>
  <si>
    <t>Orbis Content</t>
  </si>
  <si>
    <t>Simple, inert matter</t>
  </si>
  <si>
    <t>Living or once-living matter; mutable and warm</t>
  </si>
  <si>
    <t>Resilient, deliberate structures; forged or grown by intent</t>
  </si>
  <si>
    <t>Elementa</t>
  </si>
  <si>
    <t>Dynamic states of matter — flame, frost, storm, current</t>
  </si>
  <si>
    <t>Elemental Essentia are volatile, responding strongly to emotion and movement. Mages of this Circulus shape nature’s fury and grace</t>
  </si>
  <si>
    <t>Fire, water, air, earth</t>
  </si>
  <si>
    <t>Lightning, magma, mist, acid, metal vapour</t>
  </si>
  <si>
    <t>Aether, shadow, vacuum, pure energy</t>
  </si>
  <si>
    <t>The four classical elements, raw and immediate</t>
  </si>
  <si>
    <t>Compound or reactive elements; transitional forms</t>
  </si>
  <si>
    <t>Primordial essences beyond simple material states</t>
  </si>
  <si>
    <t>Affectus</t>
  </si>
  <si>
    <t>Plain Name</t>
  </si>
  <si>
    <t>Nothingness</t>
  </si>
  <si>
    <t>Matter</t>
  </si>
  <si>
    <t>Elemental</t>
  </si>
  <si>
    <t>Emotional</t>
  </si>
  <si>
    <t>Passions, instincts, and psychic force</t>
  </si>
  <si>
    <t>Emotional Essentia links thought to effect; it shapes the unseen drives of creatures and crowds. Manipulation of Affectus is as dangerous to the caster as to the target</t>
  </si>
  <si>
    <t>Fear, rage, joy, sorrow</t>
  </si>
  <si>
    <t>Courage, despair, lust, tranquility</t>
  </si>
  <si>
    <t>Love, hate, faith, zeal</t>
  </si>
  <si>
    <t>Individual emotions; immediate and contagious</t>
  </si>
  <si>
    <t>Sustained moods; enduring emotional states</t>
  </si>
  <si>
    <t>Binding passions; forces that move nations and gods</t>
  </si>
  <si>
    <t>Sybolum</t>
  </si>
  <si>
    <t>Symbols</t>
  </si>
  <si>
    <t>Meaning, belief, and metaphysical identity</t>
  </si>
  <si>
    <t>Surface symbols; sensory metaphors</t>
  </si>
  <si>
    <t>Cognitive symbols; language and lore. Also includes reference to Voluntas as a concept</t>
  </si>
  <si>
    <t>Archetypal symbols; moral and spiritual ideas</t>
  </si>
  <si>
    <t>Light, shadow, sound, image</t>
  </si>
  <si>
    <t>Name, language, sigil, story, voluntas</t>
  </si>
  <si>
    <t>Virtue, sin, destiny, memory</t>
  </si>
  <si>
    <t>Life, death, birth, decay</t>
  </si>
  <si>
    <t>War, famine, pestilence, conquest</t>
  </si>
  <si>
    <t>Sin, virtue, balance, void</t>
  </si>
  <si>
    <t>Natural cycles and metaphysical thresholds</t>
  </si>
  <si>
    <t>Planetary influences; mythic archetypes</t>
  </si>
  <si>
    <t>Eternal principles; the self-aware laws of creation</t>
  </si>
  <si>
    <t>Cosmica</t>
  </si>
  <si>
    <t>Cosmic</t>
  </si>
  <si>
    <t>Universal forces, divine principles, and abstract laws</t>
  </si>
  <si>
    <t>Cosmic Essentia governs creation’s architecture — life and death, entropy and order, fate and time. Few mortals grasp even its minor orbis safely</t>
  </si>
  <si>
    <t>Symbolic Essentia defines representation — words, runes, oaths, illusions, and cultural truths. Spells in this Circulus shape perception and narrative itself</t>
  </si>
  <si>
    <t>Nihil is not destruction but potential — the mirror opposite of creation. It exists conceptually as a zero-point, used in transmutation to determine the *difference* between two Essentia.</t>
  </si>
  <si>
    <t>Ars Tempus – The Art of Time</t>
  </si>
  <si>
    <t xml:space="preserve"> Instant (1 action)     </t>
  </si>
  <si>
    <t xml:space="preserve"> —                                      </t>
  </si>
  <si>
    <t xml:space="preserve">                        —    </t>
  </si>
  <si>
    <t xml:space="preserve"> 1 Round (≈ 5 actions)  </t>
  </si>
  <si>
    <t xml:space="preserve"> 10 Years                               </t>
  </si>
  <si>
    <t xml:space="preserve">                 1 action    </t>
  </si>
  <si>
    <t xml:space="preserve"> 1 Minute               </t>
  </si>
  <si>
    <t xml:space="preserve"> 1 Year                                 </t>
  </si>
  <si>
    <t xml:space="preserve">                  1 Round    </t>
  </si>
  <si>
    <t xml:space="preserve"> 10 Minutes             </t>
  </si>
  <si>
    <t xml:space="preserve"> 1 Month                                </t>
  </si>
  <si>
    <t xml:space="preserve">                 1 Minute    </t>
  </si>
  <si>
    <t xml:space="preserve"> 1 Hour                 </t>
  </si>
  <si>
    <t xml:space="preserve"> 1 Week                                 </t>
  </si>
  <si>
    <t xml:space="preserve">               10 Minutes    </t>
  </si>
  <si>
    <t xml:space="preserve"> 12 Hours               </t>
  </si>
  <si>
    <t xml:space="preserve"> 1 Day                                  </t>
  </si>
  <si>
    <t xml:space="preserve">                   1 Hour    </t>
  </si>
  <si>
    <t xml:space="preserve"> 1 Day                  </t>
  </si>
  <si>
    <t xml:space="preserve"> 12 Hours                               </t>
  </si>
  <si>
    <t xml:space="preserve">                 12 Hours    </t>
  </si>
  <si>
    <t xml:space="preserve"> 1 Week                 </t>
  </si>
  <si>
    <t xml:space="preserve"> 1 Hour                                 </t>
  </si>
  <si>
    <t xml:space="preserve">                    1 Day    </t>
  </si>
  <si>
    <t xml:space="preserve"> 1 Month                </t>
  </si>
  <si>
    <t xml:space="preserve"> 10 Minutes                             </t>
  </si>
  <si>
    <t xml:space="preserve">                   1 Week    </t>
  </si>
  <si>
    <t xml:space="preserve"> 1 Year                 </t>
  </si>
  <si>
    <t xml:space="preserve"> 1 Minute                               </t>
  </si>
  <si>
    <t xml:space="preserve">                  1 Month    </t>
  </si>
  <si>
    <t xml:space="preserve"> 10 Years               </t>
  </si>
  <si>
    <t xml:space="preserve">                   1 Year    </t>
  </si>
  <si>
    <t xml:space="preserve"> 100 Years              </t>
  </si>
  <si>
    <t xml:space="preserve">                   10 Years  </t>
  </si>
  <si>
    <t xml:space="preserve"> Permanent              </t>
  </si>
  <si>
    <t xml:space="preserve"> 1 Round                                </t>
  </si>
  <si>
    <t xml:space="preserve">                   100 Years </t>
  </si>
  <si>
    <t xml:space="preserve">Sustained Duration </t>
  </si>
  <si>
    <t>Periodic Interval (Recurs Every …)</t>
  </si>
  <si>
    <t xml:space="preserve"> Ritual Time Required</t>
  </si>
  <si>
    <t>Entropy (Band)</t>
  </si>
  <si>
    <t>Entropy (Total)</t>
  </si>
  <si>
    <t>Entropy (Exponent)</t>
  </si>
  <si>
    <t xml:space="preserve">Tier </t>
  </si>
  <si>
    <t>Entropy (Tier)</t>
  </si>
  <si>
    <t xml:space="preserve"> Base Scale (Entropy 1) </t>
  </si>
  <si>
    <t xml:space="preserve"> Entropy Increase per Step   </t>
  </si>
  <si>
    <t xml:space="preserve"> Single target / object     </t>
  </si>
  <si>
    <t xml:space="preserve"> 10 m × 1 m                 </t>
  </si>
  <si>
    <t xml:space="preserve"> 5 m × 3 m at base          </t>
  </si>
  <si>
    <t xml:space="preserve"> 2 m radius                 </t>
  </si>
  <si>
    <t xml:space="preserve"> Caster-centred aura        </t>
  </si>
  <si>
    <t>Wall</t>
  </si>
  <si>
    <t xml:space="preserve"> 0e                             </t>
  </si>
  <si>
    <t>Ars Forma – The Art of Area and Shape</t>
  </si>
  <si>
    <t>1m Height</t>
  </si>
  <si>
    <t>Emanation      </t>
  </si>
  <si>
    <t xml:space="preserve">Burst / Sphere </t>
  </si>
  <si>
    <t xml:space="preserve">Cone           </t>
  </si>
  <si>
    <t xml:space="preserve">Line           </t>
  </si>
  <si>
    <t>Point          </t>
  </si>
  <si>
    <t>Shape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</si>
</sst>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14" xfId="0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24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0" xfId="0" applyFill="1" applyBorder="1"/>
    <xf numFmtId="0" fontId="0" fillId="0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5018-73F3-46FF-843A-57DCD736FBC6}">
  <dimension ref="A1:E18"/>
  <sheetViews>
    <sheetView workbookViewId="0">
      <selection sqref="A1:E1"/>
    </sheetView>
  </sheetViews>
  <sheetFormatPr defaultRowHeight="15" x14ac:dyDescent="0.25"/>
  <cols>
    <col min="1" max="1" width="26.42578125" bestFit="1" customWidth="1"/>
    <col min="2" max="2" width="27.140625" bestFit="1" customWidth="1"/>
    <col min="3" max="3" width="63.140625" bestFit="1" customWidth="1"/>
    <col min="4" max="4" width="24.7109375" bestFit="1" customWidth="1"/>
    <col min="5" max="5" width="24.5703125" bestFit="1" customWidth="1"/>
  </cols>
  <sheetData>
    <row r="1" spans="1:5" ht="15.75" thickBot="1" x14ac:dyDescent="0.3">
      <c r="A1" s="11" t="s">
        <v>25</v>
      </c>
      <c r="B1" s="12"/>
      <c r="C1" s="12"/>
      <c r="D1" s="12"/>
      <c r="E1" s="13"/>
    </row>
    <row r="2" spans="1:5" ht="15.75" thickBot="1" x14ac:dyDescent="0.3">
      <c r="A2" s="14" t="s">
        <v>26</v>
      </c>
      <c r="B2" s="15" t="s">
        <v>27</v>
      </c>
      <c r="C2" s="15" t="s">
        <v>28</v>
      </c>
      <c r="D2" s="15" t="s">
        <v>69</v>
      </c>
      <c r="E2" s="16" t="s">
        <v>71</v>
      </c>
    </row>
    <row r="3" spans="1:5" x14ac:dyDescent="0.25">
      <c r="A3" s="3" t="s">
        <v>29</v>
      </c>
      <c r="B3" s="4" t="s">
        <v>30</v>
      </c>
      <c r="C3" s="4" t="s">
        <v>31</v>
      </c>
      <c r="D3" s="4" t="s">
        <v>68</v>
      </c>
      <c r="E3" s="5" t="s">
        <v>72</v>
      </c>
    </row>
    <row r="4" spans="1:5" x14ac:dyDescent="0.25">
      <c r="A4" s="6"/>
      <c r="B4" s="1" t="s">
        <v>32</v>
      </c>
      <c r="C4" s="1" t="s">
        <v>33</v>
      </c>
      <c r="D4" s="1" t="s">
        <v>68</v>
      </c>
      <c r="E4" s="7" t="s">
        <v>72</v>
      </c>
    </row>
    <row r="5" spans="1:5" x14ac:dyDescent="0.25">
      <c r="A5" s="6"/>
      <c r="B5" s="1" t="s">
        <v>34</v>
      </c>
      <c r="C5" s="1" t="s">
        <v>35</v>
      </c>
      <c r="D5" s="1" t="s">
        <v>68</v>
      </c>
      <c r="E5" s="7" t="s">
        <v>72</v>
      </c>
    </row>
    <row r="6" spans="1:5" ht="15.75" thickBot="1" x14ac:dyDescent="0.3">
      <c r="A6" s="8"/>
      <c r="B6" s="9" t="s">
        <v>36</v>
      </c>
      <c r="C6" s="9" t="s">
        <v>37</v>
      </c>
      <c r="D6" s="9" t="s">
        <v>70</v>
      </c>
      <c r="E6" s="10" t="s">
        <v>73</v>
      </c>
    </row>
    <row r="7" spans="1:5" x14ac:dyDescent="0.25">
      <c r="A7" s="3" t="s">
        <v>38</v>
      </c>
      <c r="B7" s="4" t="s">
        <v>39</v>
      </c>
      <c r="C7" s="4" t="s">
        <v>40</v>
      </c>
      <c r="D7" s="4" t="s">
        <v>68</v>
      </c>
      <c r="E7" s="5" t="s">
        <v>72</v>
      </c>
    </row>
    <row r="8" spans="1:5" ht="15.75" thickBot="1" x14ac:dyDescent="0.3">
      <c r="A8" s="8"/>
      <c r="B8" s="9" t="s">
        <v>41</v>
      </c>
      <c r="C8" s="9" t="s">
        <v>42</v>
      </c>
      <c r="D8" s="9" t="s">
        <v>68</v>
      </c>
      <c r="E8" s="10" t="s">
        <v>72</v>
      </c>
    </row>
    <row r="9" spans="1:5" x14ac:dyDescent="0.25">
      <c r="A9" s="3" t="s">
        <v>43</v>
      </c>
      <c r="B9" s="4" t="s">
        <v>44</v>
      </c>
      <c r="C9" s="4" t="s">
        <v>45</v>
      </c>
      <c r="D9" s="4" t="s">
        <v>68</v>
      </c>
      <c r="E9" s="5" t="s">
        <v>72</v>
      </c>
    </row>
    <row r="10" spans="1:5" x14ac:dyDescent="0.25">
      <c r="A10" s="6"/>
      <c r="B10" s="1" t="s">
        <v>46</v>
      </c>
      <c r="C10" s="1" t="s">
        <v>47</v>
      </c>
      <c r="D10" s="1" t="s">
        <v>68</v>
      </c>
      <c r="E10" s="7" t="s">
        <v>72</v>
      </c>
    </row>
    <row r="11" spans="1:5" x14ac:dyDescent="0.25">
      <c r="A11" s="6"/>
      <c r="B11" s="1" t="s">
        <v>48</v>
      </c>
      <c r="C11" s="1" t="s">
        <v>49</v>
      </c>
      <c r="D11" s="1" t="s">
        <v>50</v>
      </c>
      <c r="E11" s="7" t="s">
        <v>72</v>
      </c>
    </row>
    <row r="12" spans="1:5" ht="15.75" thickBot="1" x14ac:dyDescent="0.3">
      <c r="A12" s="8"/>
      <c r="B12" s="9" t="s">
        <v>51</v>
      </c>
      <c r="C12" s="9" t="s">
        <v>52</v>
      </c>
      <c r="D12" s="9" t="s">
        <v>50</v>
      </c>
      <c r="E12" s="10" t="s">
        <v>72</v>
      </c>
    </row>
    <row r="13" spans="1:5" x14ac:dyDescent="0.25">
      <c r="A13" s="3" t="s">
        <v>53</v>
      </c>
      <c r="B13" s="4" t="s">
        <v>54</v>
      </c>
      <c r="C13" s="4" t="s">
        <v>55</v>
      </c>
      <c r="D13" s="4" t="s">
        <v>68</v>
      </c>
      <c r="E13" s="5" t="s">
        <v>72</v>
      </c>
    </row>
    <row r="14" spans="1:5" ht="15.75" thickBot="1" x14ac:dyDescent="0.3">
      <c r="A14" s="8"/>
      <c r="B14" s="9" t="s">
        <v>56</v>
      </c>
      <c r="C14" s="9" t="s">
        <v>57</v>
      </c>
      <c r="D14" s="9" t="s">
        <v>68</v>
      </c>
      <c r="E14" s="10" t="s">
        <v>72</v>
      </c>
    </row>
    <row r="15" spans="1:5" x14ac:dyDescent="0.25">
      <c r="A15" s="3" t="s">
        <v>58</v>
      </c>
      <c r="B15" s="4" t="s">
        <v>59</v>
      </c>
      <c r="C15" s="4" t="s">
        <v>60</v>
      </c>
      <c r="D15" s="4" t="s">
        <v>68</v>
      </c>
      <c r="E15" s="5" t="s">
        <v>72</v>
      </c>
    </row>
    <row r="16" spans="1:5" ht="15.75" thickBot="1" x14ac:dyDescent="0.3">
      <c r="A16" s="8"/>
      <c r="B16" s="9" t="s">
        <v>61</v>
      </c>
      <c r="C16" s="9" t="s">
        <v>62</v>
      </c>
      <c r="D16" s="9" t="s">
        <v>68</v>
      </c>
      <c r="E16" s="10" t="s">
        <v>72</v>
      </c>
    </row>
    <row r="17" spans="1:5" x14ac:dyDescent="0.25">
      <c r="A17" s="3" t="s">
        <v>63</v>
      </c>
      <c r="B17" s="4" t="s">
        <v>64</v>
      </c>
      <c r="C17" s="4" t="s">
        <v>65</v>
      </c>
      <c r="D17" s="4" t="s">
        <v>68</v>
      </c>
      <c r="E17" s="5" t="s">
        <v>72</v>
      </c>
    </row>
    <row r="18" spans="1:5" ht="15.75" thickBot="1" x14ac:dyDescent="0.3">
      <c r="A18" s="8"/>
      <c r="B18" s="9" t="s">
        <v>66</v>
      </c>
      <c r="C18" s="9" t="s">
        <v>67</v>
      </c>
      <c r="D18" s="9" t="s">
        <v>68</v>
      </c>
      <c r="E18" s="10" t="s">
        <v>72</v>
      </c>
    </row>
  </sheetData>
  <mergeCells count="7">
    <mergeCell ref="A17:A18"/>
    <mergeCell ref="A1:E1"/>
    <mergeCell ref="A3:A6"/>
    <mergeCell ref="A7:A8"/>
    <mergeCell ref="A9:A12"/>
    <mergeCell ref="A13:A14"/>
    <mergeCell ref="A15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722F-75D7-441B-AEC4-BD53AF2DEE64}">
  <dimension ref="A1:H18"/>
  <sheetViews>
    <sheetView workbookViewId="0">
      <selection activeCell="C10" sqref="C10:C12"/>
    </sheetView>
  </sheetViews>
  <sheetFormatPr defaultRowHeight="15" x14ac:dyDescent="0.25"/>
  <cols>
    <col min="1" max="1" width="9.140625" bestFit="1" customWidth="1"/>
    <col min="2" max="2" width="12.140625" bestFit="1" customWidth="1"/>
    <col min="3" max="3" width="57.5703125" bestFit="1" customWidth="1"/>
    <col min="4" max="4" width="69.85546875" customWidth="1"/>
    <col min="5" max="5" width="9.85546875" bestFit="1" customWidth="1"/>
    <col min="6" max="6" width="79.5703125" bestFit="1" customWidth="1"/>
    <col min="7" max="7" width="40" bestFit="1" customWidth="1"/>
    <col min="8" max="8" width="7.5703125" bestFit="1" customWidth="1"/>
  </cols>
  <sheetData>
    <row r="1" spans="1:8" ht="15.75" thickBot="1" x14ac:dyDescent="0.3">
      <c r="A1" s="11" t="s">
        <v>87</v>
      </c>
      <c r="B1" s="12"/>
      <c r="C1" s="12"/>
      <c r="D1" s="12"/>
      <c r="E1" s="12"/>
      <c r="F1" s="12"/>
      <c r="G1" s="12"/>
      <c r="H1" s="13"/>
    </row>
    <row r="2" spans="1:8" ht="15.75" thickBot="1" x14ac:dyDescent="0.3">
      <c r="A2" s="14" t="s">
        <v>88</v>
      </c>
      <c r="B2" s="15" t="s">
        <v>127</v>
      </c>
      <c r="C2" s="15" t="s">
        <v>90</v>
      </c>
      <c r="D2" s="15" t="s">
        <v>91</v>
      </c>
      <c r="E2" s="15" t="s">
        <v>89</v>
      </c>
      <c r="F2" s="15" t="s">
        <v>113</v>
      </c>
      <c r="G2" s="15" t="s">
        <v>96</v>
      </c>
      <c r="H2" s="16" t="s">
        <v>92</v>
      </c>
    </row>
    <row r="3" spans="1:8" ht="45.75" thickBot="1" x14ac:dyDescent="0.3">
      <c r="A3" s="28" t="s">
        <v>93</v>
      </c>
      <c r="B3" s="29" t="s">
        <v>128</v>
      </c>
      <c r="C3" s="29" t="s">
        <v>94</v>
      </c>
      <c r="D3" s="24" t="s">
        <v>160</v>
      </c>
      <c r="E3" s="15" t="s">
        <v>95</v>
      </c>
      <c r="F3" s="15" t="s">
        <v>97</v>
      </c>
      <c r="G3" s="15" t="s">
        <v>97</v>
      </c>
      <c r="H3" s="16" t="s">
        <v>81</v>
      </c>
    </row>
    <row r="4" spans="1:8" x14ac:dyDescent="0.25">
      <c r="A4" s="30" t="s">
        <v>98</v>
      </c>
      <c r="B4" s="31" t="s">
        <v>129</v>
      </c>
      <c r="C4" s="31" t="s">
        <v>108</v>
      </c>
      <c r="D4" s="25" t="s">
        <v>109</v>
      </c>
      <c r="E4" s="4" t="s">
        <v>99</v>
      </c>
      <c r="F4" s="4" t="s">
        <v>114</v>
      </c>
      <c r="G4" s="4" t="s">
        <v>110</v>
      </c>
      <c r="H4" s="5" t="s">
        <v>68</v>
      </c>
    </row>
    <row r="5" spans="1:8" x14ac:dyDescent="0.25">
      <c r="A5" s="32"/>
      <c r="B5" s="33"/>
      <c r="C5" s="33"/>
      <c r="D5" s="26"/>
      <c r="E5" s="1" t="s">
        <v>100</v>
      </c>
      <c r="F5" s="1" t="s">
        <v>115</v>
      </c>
      <c r="G5" s="1" t="s">
        <v>111</v>
      </c>
      <c r="H5" s="7" t="s">
        <v>80</v>
      </c>
    </row>
    <row r="6" spans="1:8" ht="15.75" thickBot="1" x14ac:dyDescent="0.3">
      <c r="A6" s="34"/>
      <c r="B6" s="35"/>
      <c r="C6" s="35"/>
      <c r="D6" s="27"/>
      <c r="E6" s="9" t="s">
        <v>101</v>
      </c>
      <c r="F6" s="9" t="s">
        <v>116</v>
      </c>
      <c r="G6" s="9" t="s">
        <v>112</v>
      </c>
      <c r="H6" s="10" t="s">
        <v>79</v>
      </c>
    </row>
    <row r="7" spans="1:8" x14ac:dyDescent="0.25">
      <c r="A7" s="30" t="s">
        <v>117</v>
      </c>
      <c r="B7" s="31" t="s">
        <v>130</v>
      </c>
      <c r="C7" s="31" t="s">
        <v>118</v>
      </c>
      <c r="D7" s="25" t="s">
        <v>119</v>
      </c>
      <c r="E7" s="4" t="s">
        <v>99</v>
      </c>
      <c r="F7" s="4" t="s">
        <v>123</v>
      </c>
      <c r="G7" s="4" t="s">
        <v>120</v>
      </c>
      <c r="H7" s="5" t="s">
        <v>78</v>
      </c>
    </row>
    <row r="8" spans="1:8" x14ac:dyDescent="0.25">
      <c r="A8" s="32"/>
      <c r="B8" s="33"/>
      <c r="C8" s="33"/>
      <c r="D8" s="26"/>
      <c r="E8" s="1" t="s">
        <v>100</v>
      </c>
      <c r="F8" s="1" t="s">
        <v>124</v>
      </c>
      <c r="G8" s="1" t="s">
        <v>121</v>
      </c>
      <c r="H8" s="7" t="s">
        <v>82</v>
      </c>
    </row>
    <row r="9" spans="1:8" ht="15.75" thickBot="1" x14ac:dyDescent="0.3">
      <c r="A9" s="34"/>
      <c r="B9" s="35"/>
      <c r="C9" s="35"/>
      <c r="D9" s="27"/>
      <c r="E9" s="9" t="s">
        <v>101</v>
      </c>
      <c r="F9" s="9" t="s">
        <v>125</v>
      </c>
      <c r="G9" s="9" t="s">
        <v>122</v>
      </c>
      <c r="H9" s="10" t="s">
        <v>83</v>
      </c>
    </row>
    <row r="10" spans="1:8" x14ac:dyDescent="0.25">
      <c r="A10" s="30" t="s">
        <v>126</v>
      </c>
      <c r="B10" s="31" t="s">
        <v>131</v>
      </c>
      <c r="C10" s="31" t="s">
        <v>132</v>
      </c>
      <c r="D10" s="25" t="s">
        <v>133</v>
      </c>
      <c r="E10" s="4" t="s">
        <v>99</v>
      </c>
      <c r="F10" s="4" t="s">
        <v>137</v>
      </c>
      <c r="G10" s="4" t="s">
        <v>134</v>
      </c>
      <c r="H10" s="5" t="s">
        <v>84</v>
      </c>
    </row>
    <row r="11" spans="1:8" x14ac:dyDescent="0.25">
      <c r="A11" s="32"/>
      <c r="B11" s="33"/>
      <c r="C11" s="33"/>
      <c r="D11" s="26"/>
      <c r="E11" s="1" t="s">
        <v>100</v>
      </c>
      <c r="F11" s="1" t="s">
        <v>138</v>
      </c>
      <c r="G11" s="1" t="s">
        <v>135</v>
      </c>
      <c r="H11" s="7" t="s">
        <v>85</v>
      </c>
    </row>
    <row r="12" spans="1:8" ht="15.75" thickBot="1" x14ac:dyDescent="0.3">
      <c r="A12" s="34"/>
      <c r="B12" s="35"/>
      <c r="C12" s="35"/>
      <c r="D12" s="27"/>
      <c r="E12" s="9" t="s">
        <v>101</v>
      </c>
      <c r="F12" s="9" t="s">
        <v>139</v>
      </c>
      <c r="G12" s="9" t="s">
        <v>136</v>
      </c>
      <c r="H12" s="10" t="s">
        <v>86</v>
      </c>
    </row>
    <row r="13" spans="1:8" x14ac:dyDescent="0.25">
      <c r="A13" s="30" t="s">
        <v>140</v>
      </c>
      <c r="B13" s="31" t="s">
        <v>141</v>
      </c>
      <c r="C13" s="31" t="s">
        <v>142</v>
      </c>
      <c r="D13" s="25" t="s">
        <v>159</v>
      </c>
      <c r="E13" s="4" t="s">
        <v>99</v>
      </c>
      <c r="F13" s="4" t="s">
        <v>143</v>
      </c>
      <c r="G13" s="4" t="s">
        <v>146</v>
      </c>
      <c r="H13" s="5" t="s">
        <v>102</v>
      </c>
    </row>
    <row r="14" spans="1:8" x14ac:dyDescent="0.25">
      <c r="A14" s="32"/>
      <c r="B14" s="33"/>
      <c r="C14" s="33"/>
      <c r="D14" s="26"/>
      <c r="E14" s="1" t="s">
        <v>100</v>
      </c>
      <c r="F14" s="1" t="s">
        <v>144</v>
      </c>
      <c r="G14" s="1" t="s">
        <v>147</v>
      </c>
      <c r="H14" s="7" t="s">
        <v>103</v>
      </c>
    </row>
    <row r="15" spans="1:8" ht="15.75" thickBot="1" x14ac:dyDescent="0.3">
      <c r="A15" s="34"/>
      <c r="B15" s="35"/>
      <c r="C15" s="35"/>
      <c r="D15" s="27"/>
      <c r="E15" s="9" t="s">
        <v>101</v>
      </c>
      <c r="F15" s="9" t="s">
        <v>145</v>
      </c>
      <c r="G15" s="9" t="s">
        <v>148</v>
      </c>
      <c r="H15" s="10" t="s">
        <v>104</v>
      </c>
    </row>
    <row r="16" spans="1:8" x14ac:dyDescent="0.25">
      <c r="A16" s="30" t="s">
        <v>155</v>
      </c>
      <c r="B16" s="31" t="s">
        <v>156</v>
      </c>
      <c r="C16" s="31" t="s">
        <v>157</v>
      </c>
      <c r="D16" s="25" t="s">
        <v>158</v>
      </c>
      <c r="E16" s="4" t="s">
        <v>99</v>
      </c>
      <c r="F16" s="4" t="s">
        <v>152</v>
      </c>
      <c r="G16" s="4" t="s">
        <v>149</v>
      </c>
      <c r="H16" s="5" t="s">
        <v>105</v>
      </c>
    </row>
    <row r="17" spans="1:8" x14ac:dyDescent="0.25">
      <c r="A17" s="32"/>
      <c r="B17" s="33"/>
      <c r="C17" s="33"/>
      <c r="D17" s="26"/>
      <c r="E17" s="1" t="s">
        <v>100</v>
      </c>
      <c r="F17" s="1" t="s">
        <v>153</v>
      </c>
      <c r="G17" s="1" t="s">
        <v>150</v>
      </c>
      <c r="H17" s="7" t="s">
        <v>106</v>
      </c>
    </row>
    <row r="18" spans="1:8" ht="15.75" thickBot="1" x14ac:dyDescent="0.3">
      <c r="A18" s="34"/>
      <c r="B18" s="35"/>
      <c r="C18" s="35"/>
      <c r="D18" s="27"/>
      <c r="E18" s="9" t="s">
        <v>101</v>
      </c>
      <c r="F18" s="9" t="s">
        <v>154</v>
      </c>
      <c r="G18" s="9" t="s">
        <v>151</v>
      </c>
      <c r="H18" s="10" t="s">
        <v>107</v>
      </c>
    </row>
  </sheetData>
  <mergeCells count="21">
    <mergeCell ref="D13:D15"/>
    <mergeCell ref="D16:D18"/>
    <mergeCell ref="C16:C18"/>
    <mergeCell ref="A13:A15"/>
    <mergeCell ref="B13:B15"/>
    <mergeCell ref="B16:B18"/>
    <mergeCell ref="A16:A18"/>
    <mergeCell ref="C4:C6"/>
    <mergeCell ref="C7:C9"/>
    <mergeCell ref="C10:C12"/>
    <mergeCell ref="C13:C15"/>
    <mergeCell ref="A1:H1"/>
    <mergeCell ref="B4:B6"/>
    <mergeCell ref="A4:A6"/>
    <mergeCell ref="B7:B9"/>
    <mergeCell ref="A7:A9"/>
    <mergeCell ref="B10:B12"/>
    <mergeCell ref="A10:A12"/>
    <mergeCell ref="D4:D6"/>
    <mergeCell ref="D7:D9"/>
    <mergeCell ref="D10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7F66-C406-4916-85D1-92CC714DCA52}">
  <dimension ref="A1:D12"/>
  <sheetViews>
    <sheetView workbookViewId="0">
      <selection activeCell="B7" sqref="B7"/>
    </sheetView>
  </sheetViews>
  <sheetFormatPr defaultRowHeight="15" x14ac:dyDescent="0.25"/>
  <cols>
    <col min="1" max="1" width="25.5703125" bestFit="1" customWidth="1"/>
    <col min="2" max="2" width="58.42578125" bestFit="1" customWidth="1"/>
    <col min="3" max="3" width="17.5703125" bestFit="1" customWidth="1"/>
    <col min="4" max="4" width="16.85546875" bestFit="1" customWidth="1"/>
  </cols>
  <sheetData>
    <row r="1" spans="1:4" ht="15.75" thickBot="1" x14ac:dyDescent="0.3">
      <c r="A1" s="18" t="s">
        <v>0</v>
      </c>
      <c r="B1" s="19"/>
      <c r="C1" s="19"/>
      <c r="D1" s="20"/>
    </row>
    <row r="2" spans="1:4" ht="15.75" thickBot="1" x14ac:dyDescent="0.3">
      <c r="A2" s="14" t="s">
        <v>22</v>
      </c>
      <c r="B2" s="15" t="s">
        <v>23</v>
      </c>
      <c r="C2" s="15" t="s">
        <v>24</v>
      </c>
      <c r="D2" s="16" t="s">
        <v>71</v>
      </c>
    </row>
    <row r="3" spans="1:4" x14ac:dyDescent="0.25">
      <c r="A3" s="21" t="s">
        <v>1</v>
      </c>
      <c r="B3" s="4" t="s">
        <v>2</v>
      </c>
      <c r="C3" s="4" t="s">
        <v>81</v>
      </c>
      <c r="D3" s="5" t="s">
        <v>3</v>
      </c>
    </row>
    <row r="4" spans="1:4" x14ac:dyDescent="0.25">
      <c r="A4" s="22" t="s">
        <v>4</v>
      </c>
      <c r="B4" s="1" t="s">
        <v>5</v>
      </c>
      <c r="C4" s="1" t="s">
        <v>68</v>
      </c>
      <c r="D4" s="7" t="s">
        <v>6</v>
      </c>
    </row>
    <row r="5" spans="1:4" x14ac:dyDescent="0.25">
      <c r="A5" s="22" t="s">
        <v>7</v>
      </c>
      <c r="B5" s="1" t="s">
        <v>8</v>
      </c>
      <c r="C5" s="1" t="s">
        <v>80</v>
      </c>
      <c r="D5" s="7" t="s">
        <v>9</v>
      </c>
    </row>
    <row r="6" spans="1:4" x14ac:dyDescent="0.25">
      <c r="A6" s="22" t="s">
        <v>10</v>
      </c>
      <c r="B6" s="1" t="s">
        <v>11</v>
      </c>
      <c r="C6" s="1" t="s">
        <v>79</v>
      </c>
      <c r="D6" s="7" t="s">
        <v>74</v>
      </c>
    </row>
    <row r="7" spans="1:4" x14ac:dyDescent="0.25">
      <c r="A7" s="22" t="s">
        <v>12</v>
      </c>
      <c r="B7" s="1" t="s">
        <v>75</v>
      </c>
      <c r="C7" s="1" t="s">
        <v>78</v>
      </c>
      <c r="D7" s="7" t="s">
        <v>13</v>
      </c>
    </row>
    <row r="8" spans="1:4" x14ac:dyDescent="0.25">
      <c r="A8" s="22" t="s">
        <v>76</v>
      </c>
      <c r="B8" s="1" t="s">
        <v>77</v>
      </c>
      <c r="C8" s="1" t="s">
        <v>82</v>
      </c>
      <c r="D8" s="7" t="s">
        <v>13</v>
      </c>
    </row>
    <row r="9" spans="1:4" x14ac:dyDescent="0.25">
      <c r="A9" s="22" t="s">
        <v>14</v>
      </c>
      <c r="B9" s="1" t="s">
        <v>15</v>
      </c>
      <c r="C9" s="1" t="s">
        <v>83</v>
      </c>
      <c r="D9" s="7" t="s">
        <v>13</v>
      </c>
    </row>
    <row r="10" spans="1:4" x14ac:dyDescent="0.25">
      <c r="A10" s="22" t="s">
        <v>16</v>
      </c>
      <c r="B10" s="1" t="s">
        <v>17</v>
      </c>
      <c r="C10" s="1" t="s">
        <v>84</v>
      </c>
      <c r="D10" s="7" t="s">
        <v>13</v>
      </c>
    </row>
    <row r="11" spans="1:4" x14ac:dyDescent="0.25">
      <c r="A11" s="22" t="s">
        <v>18</v>
      </c>
      <c r="B11" s="1" t="s">
        <v>19</v>
      </c>
      <c r="C11" s="1" t="s">
        <v>85</v>
      </c>
      <c r="D11" s="7" t="s">
        <v>13</v>
      </c>
    </row>
    <row r="12" spans="1:4" ht="15.75" thickBot="1" x14ac:dyDescent="0.3">
      <c r="A12" s="23" t="s">
        <v>20</v>
      </c>
      <c r="B12" s="9" t="s">
        <v>21</v>
      </c>
      <c r="C12" s="9" t="s">
        <v>86</v>
      </c>
      <c r="D12" s="10" t="s">
        <v>13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94C9-6E4F-4224-A55C-D63B21DC2E3B}">
  <dimension ref="A1:I15"/>
  <sheetViews>
    <sheetView workbookViewId="0">
      <selection activeCell="I6" sqref="I6"/>
    </sheetView>
  </sheetViews>
  <sheetFormatPr defaultRowHeight="15" x14ac:dyDescent="0.25"/>
  <cols>
    <col min="1" max="1" width="14" bestFit="1" customWidth="1"/>
    <col min="2" max="2" width="14.140625" bestFit="1" customWidth="1"/>
    <col min="3" max="4" width="19.7109375" bestFit="1" customWidth="1"/>
    <col min="5" max="5" width="21" bestFit="1" customWidth="1"/>
    <col min="6" max="6" width="30.85546875" bestFit="1" customWidth="1"/>
    <col min="7" max="7" width="19.85546875" bestFit="1" customWidth="1"/>
    <col min="8" max="8" width="14.85546875" customWidth="1"/>
  </cols>
  <sheetData>
    <row r="1" spans="1:9" ht="15.75" thickBot="1" x14ac:dyDescent="0.3">
      <c r="A1" s="18" t="s">
        <v>161</v>
      </c>
      <c r="B1" s="19"/>
      <c r="C1" s="19"/>
      <c r="D1" s="19"/>
      <c r="E1" s="19"/>
      <c r="F1" s="19"/>
      <c r="G1" s="20"/>
      <c r="H1" s="36"/>
      <c r="I1" s="40" t="s">
        <v>205</v>
      </c>
    </row>
    <row r="2" spans="1:9" ht="15.75" thickBot="1" x14ac:dyDescent="0.3">
      <c r="A2" s="14" t="s">
        <v>203</v>
      </c>
      <c r="B2" s="15" t="s">
        <v>202</v>
      </c>
      <c r="C2" s="15" t="s">
        <v>204</v>
      </c>
      <c r="D2" s="42" t="s">
        <v>206</v>
      </c>
      <c r="E2" s="15" t="s">
        <v>199</v>
      </c>
      <c r="F2" s="15" t="s">
        <v>200</v>
      </c>
      <c r="G2" s="16" t="s">
        <v>201</v>
      </c>
      <c r="H2" s="17"/>
      <c r="I2" s="38">
        <v>2</v>
      </c>
    </row>
    <row r="3" spans="1:9" x14ac:dyDescent="0.25">
      <c r="A3" s="37">
        <f>SUM(B3)</f>
        <v>0</v>
      </c>
      <c r="B3" s="2">
        <f>SUM(C3)</f>
        <v>0</v>
      </c>
      <c r="C3" s="2" t="s">
        <v>163</v>
      </c>
      <c r="D3" s="2" t="s">
        <v>163</v>
      </c>
      <c r="E3" s="2" t="s">
        <v>162</v>
      </c>
      <c r="F3" s="2" t="s">
        <v>163</v>
      </c>
      <c r="G3" s="39" t="s">
        <v>164</v>
      </c>
      <c r="H3" s="17"/>
    </row>
    <row r="4" spans="1:9" x14ac:dyDescent="0.25">
      <c r="A4" s="22">
        <f>SUM(B3:B4)</f>
        <v>1</v>
      </c>
      <c r="B4" s="1">
        <f>2^C4</f>
        <v>1</v>
      </c>
      <c r="C4" s="1">
        <f>MAX(0, D4-$I$2)</f>
        <v>0</v>
      </c>
      <c r="D4" s="1">
        <v>1</v>
      </c>
      <c r="E4" s="1" t="s">
        <v>165</v>
      </c>
      <c r="F4" s="1" t="s">
        <v>194</v>
      </c>
      <c r="G4" s="7" t="s">
        <v>167</v>
      </c>
      <c r="H4" s="17"/>
    </row>
    <row r="5" spans="1:9" x14ac:dyDescent="0.25">
      <c r="A5" s="22">
        <f>SUM(B3:B5)</f>
        <v>2</v>
      </c>
      <c r="B5" s="1">
        <f t="shared" ref="B5:B15" si="0">2^C5</f>
        <v>1</v>
      </c>
      <c r="C5" s="1">
        <f>MAX(0, D5-$I$2)</f>
        <v>0</v>
      </c>
      <c r="D5" s="1">
        <v>2</v>
      </c>
      <c r="E5" s="1" t="s">
        <v>168</v>
      </c>
      <c r="F5" s="1" t="s">
        <v>166</v>
      </c>
      <c r="G5" s="7" t="s">
        <v>170</v>
      </c>
      <c r="H5" s="17"/>
    </row>
    <row r="6" spans="1:9" x14ac:dyDescent="0.25">
      <c r="A6" s="22">
        <f>SUM(B3:B6)</f>
        <v>4</v>
      </c>
      <c r="B6" s="1">
        <f t="shared" si="0"/>
        <v>2</v>
      </c>
      <c r="C6" s="1">
        <f>MAX(0, D6-$I$2)</f>
        <v>1</v>
      </c>
      <c r="D6" s="1">
        <v>3</v>
      </c>
      <c r="E6" s="1" t="s">
        <v>171</v>
      </c>
      <c r="F6" s="1" t="s">
        <v>169</v>
      </c>
      <c r="G6" s="7" t="s">
        <v>173</v>
      </c>
      <c r="H6" s="17"/>
    </row>
    <row r="7" spans="1:9" x14ac:dyDescent="0.25">
      <c r="A7" s="22">
        <f>SUM(B3:B7)</f>
        <v>8</v>
      </c>
      <c r="B7" s="1">
        <f t="shared" si="0"/>
        <v>4</v>
      </c>
      <c r="C7" s="1">
        <f>MAX(0, D7-$I$2)</f>
        <v>2</v>
      </c>
      <c r="D7" s="1">
        <v>4</v>
      </c>
      <c r="E7" s="1" t="s">
        <v>174</v>
      </c>
      <c r="F7" s="1" t="s">
        <v>172</v>
      </c>
      <c r="G7" s="7" t="s">
        <v>176</v>
      </c>
      <c r="H7" s="17"/>
    </row>
    <row r="8" spans="1:9" x14ac:dyDescent="0.25">
      <c r="A8" s="22">
        <f>SUM(B3:B8)</f>
        <v>16</v>
      </c>
      <c r="B8" s="1">
        <f t="shared" si="0"/>
        <v>8</v>
      </c>
      <c r="C8" s="1">
        <f>MAX(0, D8-$I$2)</f>
        <v>3</v>
      </c>
      <c r="D8" s="1">
        <v>5</v>
      </c>
      <c r="E8" s="1" t="s">
        <v>177</v>
      </c>
      <c r="F8" s="1" t="s">
        <v>175</v>
      </c>
      <c r="G8" s="7" t="s">
        <v>179</v>
      </c>
      <c r="H8" s="17"/>
    </row>
    <row r="9" spans="1:9" x14ac:dyDescent="0.25">
      <c r="A9" s="22">
        <f>SUM(B3:B9)</f>
        <v>32</v>
      </c>
      <c r="B9" s="1">
        <f t="shared" si="0"/>
        <v>16</v>
      </c>
      <c r="C9" s="1">
        <f>MAX(0, D9-$I$2)</f>
        <v>4</v>
      </c>
      <c r="D9" s="1">
        <v>6</v>
      </c>
      <c r="E9" s="1" t="s">
        <v>180</v>
      </c>
      <c r="F9" s="1" t="s">
        <v>178</v>
      </c>
      <c r="G9" s="7" t="s">
        <v>182</v>
      </c>
      <c r="H9" s="17"/>
    </row>
    <row r="10" spans="1:9" x14ac:dyDescent="0.25">
      <c r="A10" s="22">
        <f>SUM(B3:B10)</f>
        <v>64</v>
      </c>
      <c r="B10" s="1">
        <f t="shared" si="0"/>
        <v>32</v>
      </c>
      <c r="C10" s="1">
        <f>MAX(0, D10-$I$2)</f>
        <v>5</v>
      </c>
      <c r="D10" s="1">
        <v>7</v>
      </c>
      <c r="E10" s="1" t="s">
        <v>183</v>
      </c>
      <c r="F10" s="1" t="s">
        <v>181</v>
      </c>
      <c r="G10" s="7" t="s">
        <v>185</v>
      </c>
      <c r="H10" s="17"/>
    </row>
    <row r="11" spans="1:9" x14ac:dyDescent="0.25">
      <c r="A11" s="22">
        <f>SUM(B3:B11)</f>
        <v>128</v>
      </c>
      <c r="B11" s="1">
        <f t="shared" si="0"/>
        <v>64</v>
      </c>
      <c r="C11" s="1">
        <f>MAX(0, D11-$I$2)</f>
        <v>6</v>
      </c>
      <c r="D11" s="1">
        <v>8</v>
      </c>
      <c r="E11" s="1" t="s">
        <v>186</v>
      </c>
      <c r="F11" s="1" t="s">
        <v>184</v>
      </c>
      <c r="G11" s="7" t="s">
        <v>188</v>
      </c>
      <c r="H11" s="17"/>
    </row>
    <row r="12" spans="1:9" x14ac:dyDescent="0.25">
      <c r="A12" s="22">
        <f>SUM(B3:B12)</f>
        <v>256</v>
      </c>
      <c r="B12" s="1">
        <f t="shared" si="0"/>
        <v>128</v>
      </c>
      <c r="C12" s="1">
        <f>MAX(0, D12-$I$2)</f>
        <v>7</v>
      </c>
      <c r="D12" s="1">
        <v>9</v>
      </c>
      <c r="E12" s="1" t="s">
        <v>189</v>
      </c>
      <c r="F12" s="1" t="s">
        <v>187</v>
      </c>
      <c r="G12" s="7" t="s">
        <v>191</v>
      </c>
      <c r="H12" s="17"/>
    </row>
    <row r="13" spans="1:9" x14ac:dyDescent="0.25">
      <c r="A13" s="22">
        <f>SUM(B3:B13)</f>
        <v>512</v>
      </c>
      <c r="B13" s="1">
        <f t="shared" si="0"/>
        <v>256</v>
      </c>
      <c r="C13" s="1">
        <f>MAX(0, D13-$I$2)</f>
        <v>8</v>
      </c>
      <c r="D13" s="1">
        <v>10</v>
      </c>
      <c r="E13" s="1" t="s">
        <v>192</v>
      </c>
      <c r="F13" s="1" t="s">
        <v>190</v>
      </c>
      <c r="G13" s="7" t="s">
        <v>193</v>
      </c>
      <c r="H13" s="17"/>
    </row>
    <row r="14" spans="1:9" x14ac:dyDescent="0.25">
      <c r="A14" s="22">
        <f>SUM(B3:B14)</f>
        <v>1024</v>
      </c>
      <c r="B14" s="1">
        <f t="shared" si="0"/>
        <v>512</v>
      </c>
      <c r="C14" s="1">
        <f>MAX(0, D14-$I$2)</f>
        <v>9</v>
      </c>
      <c r="D14" s="1">
        <v>11</v>
      </c>
      <c r="E14" s="1" t="s">
        <v>194</v>
      </c>
      <c r="F14" s="1" t="s">
        <v>197</v>
      </c>
      <c r="G14" s="7" t="s">
        <v>195</v>
      </c>
      <c r="H14" s="17"/>
    </row>
    <row r="15" spans="1:9" ht="15.75" thickBot="1" x14ac:dyDescent="0.3">
      <c r="A15" s="23">
        <f>SUM(B3:B15)</f>
        <v>2048</v>
      </c>
      <c r="B15" s="9">
        <f t="shared" si="0"/>
        <v>1024</v>
      </c>
      <c r="C15" s="9">
        <f>MAX(0, D15-$I$2)</f>
        <v>10</v>
      </c>
      <c r="D15" s="9">
        <v>12</v>
      </c>
      <c r="E15" s="9" t="s">
        <v>196</v>
      </c>
      <c r="F15" s="9" t="s">
        <v>163</v>
      </c>
      <c r="G15" s="10" t="s">
        <v>198</v>
      </c>
      <c r="H15" s="17"/>
    </row>
  </sheetData>
  <dataConsolidate/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0A1F-6B4E-4A3F-95AA-342E240F9333}">
  <dimension ref="A1:G8"/>
  <sheetViews>
    <sheetView tabSelected="1" workbookViewId="0">
      <selection activeCell="B6" sqref="B6"/>
    </sheetView>
  </sheetViews>
  <sheetFormatPr defaultRowHeight="15" x14ac:dyDescent="0.25"/>
  <cols>
    <col min="1" max="1" width="33.85546875" style="17" bestFit="1" customWidth="1"/>
    <col min="2" max="2" width="22.7109375" style="17" bestFit="1" customWidth="1"/>
    <col min="3" max="3" width="30.42578125" style="17" bestFit="1" customWidth="1"/>
    <col min="4" max="4" width="28.140625" style="17" bestFit="1" customWidth="1"/>
    <col min="5" max="16384" width="9.140625" style="17"/>
  </cols>
  <sheetData>
    <row r="1" spans="1:7" x14ac:dyDescent="0.25">
      <c r="A1" s="36" t="s">
        <v>216</v>
      </c>
      <c r="B1" s="36"/>
      <c r="C1" s="36"/>
      <c r="D1" s="36"/>
      <c r="E1" s="36"/>
      <c r="F1" s="36"/>
      <c r="G1" s="36"/>
    </row>
    <row r="2" spans="1:7" x14ac:dyDescent="0.25">
      <c r="A2" s="17" t="s">
        <v>223</v>
      </c>
      <c r="B2" s="17" t="s">
        <v>207</v>
      </c>
      <c r="C2" s="17" t="s">
        <v>208</v>
      </c>
    </row>
    <row r="3" spans="1:7" x14ac:dyDescent="0.25">
      <c r="A3" s="17" t="s">
        <v>222</v>
      </c>
      <c r="B3" s="17" t="s">
        <v>209</v>
      </c>
      <c r="C3" s="17" t="s">
        <v>215</v>
      </c>
    </row>
    <row r="4" spans="1:7" x14ac:dyDescent="0.25">
      <c r="A4" s="17" t="s">
        <v>221</v>
      </c>
      <c r="B4" s="17" t="s">
        <v>210</v>
      </c>
      <c r="C4" s="17" t="s">
        <v>68</v>
      </c>
    </row>
    <row r="5" spans="1:7" x14ac:dyDescent="0.25">
      <c r="A5" s="17" t="s">
        <v>220</v>
      </c>
      <c r="B5" s="17" t="s">
        <v>211</v>
      </c>
      <c r="C5" s="17" t="s">
        <v>68</v>
      </c>
    </row>
    <row r="6" spans="1:7" x14ac:dyDescent="0.25">
      <c r="A6" s="17" t="s">
        <v>219</v>
      </c>
      <c r="B6" s="17" t="s">
        <v>212</v>
      </c>
      <c r="C6" s="17" t="s">
        <v>68</v>
      </c>
    </row>
    <row r="7" spans="1:7" x14ac:dyDescent="0.25">
      <c r="A7" s="17" t="s">
        <v>218</v>
      </c>
      <c r="B7" s="17" t="s">
        <v>213</v>
      </c>
      <c r="C7" s="17" t="s">
        <v>68</v>
      </c>
    </row>
    <row r="8" spans="1:7" x14ac:dyDescent="0.25">
      <c r="A8" s="41" t="s">
        <v>214</v>
      </c>
      <c r="B8" s="41" t="s">
        <v>217</v>
      </c>
      <c r="C8" s="17" t="s">
        <v>68</v>
      </c>
      <c r="D8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Ars Voluntas - Intent</vt:lpstr>
      <vt:lpstr>Ars Essentia - Concept</vt:lpstr>
      <vt:lpstr>Ars Trajecta - Delivery</vt:lpstr>
      <vt:lpstr>Ars Tempus - Duration</vt:lpstr>
      <vt:lpstr>Ars Forma - Area + Shape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Sidey</dc:creator>
  <cp:lastModifiedBy>Simeon Sidey</cp:lastModifiedBy>
  <dcterms:created xsi:type="dcterms:W3CDTF">2025-11-16T20:24:00Z</dcterms:created>
  <dcterms:modified xsi:type="dcterms:W3CDTF">2025-11-16T22:33:21Z</dcterms:modified>
</cp:coreProperties>
</file>